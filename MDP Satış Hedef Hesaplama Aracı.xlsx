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p/Documents/Ascendia/Customers/MDP/"/>
    </mc:Choice>
  </mc:AlternateContent>
  <xr:revisionPtr revIDLastSave="0" documentId="13_ncr:1_{662E1AA0-0B34-8446-903D-02239BF7BB92}" xr6:coauthVersionLast="47" xr6:coauthVersionMax="47" xr10:uidLastSave="{00000000-0000-0000-0000-000000000000}"/>
  <bookViews>
    <workbookView xWindow="640" yWindow="1100" windowWidth="27900" windowHeight="15100" xr2:uid="{DCED05FC-1100-AA4B-ABF2-1002C95D27DE}"/>
  </bookViews>
  <sheets>
    <sheet name="Örne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H4" i="1"/>
  <c r="H5" i="1" s="1"/>
  <c r="G4" i="1"/>
  <c r="G5" i="1" s="1"/>
  <c r="F4" i="1"/>
  <c r="F5" i="1" s="1"/>
  <c r="K2" i="1"/>
  <c r="K3" i="1" l="1"/>
  <c r="K4" i="1" s="1"/>
</calcChain>
</file>

<file path=xl/sharedStrings.xml><?xml version="1.0" encoding="utf-8"?>
<sst xmlns="http://schemas.openxmlformats.org/spreadsheetml/2006/main" count="23" uniqueCount="21">
  <si>
    <t>Q1</t>
  </si>
  <si>
    <t>Q2</t>
  </si>
  <si>
    <t>Q3</t>
  </si>
  <si>
    <t>Q4</t>
  </si>
  <si>
    <t>Personel Adı</t>
  </si>
  <si>
    <t>Hamdi</t>
  </si>
  <si>
    <t>Hedef</t>
  </si>
  <si>
    <t>Baz Maaş TL/AY</t>
  </si>
  <si>
    <t>Gerçekleştirme</t>
  </si>
  <si>
    <t>Toplam Yıllık Kazanç</t>
  </si>
  <si>
    <t>OTE</t>
  </si>
  <si>
    <t>Pay Mix</t>
  </si>
  <si>
    <t>HGO</t>
  </si>
  <si>
    <t>Aylık Ortalama Kazanç</t>
  </si>
  <si>
    <t>Prim HakEdiş</t>
  </si>
  <si>
    <t>Decelerator</t>
  </si>
  <si>
    <t>H Ger Or Mn</t>
  </si>
  <si>
    <t>H Ger Or Mx</t>
  </si>
  <si>
    <t>Gate</t>
  </si>
  <si>
    <t>Accelerator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</si>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</sst>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₺-41F]* #,##0.00_-;\-[$₺-41F]* #,##0.00_-;_-[$₺-41F]* &quot;-&quot;??_-;_-@_-"/>
    <numFmt numFmtId="165" formatCode="_-[$€-2]\ * #,##0.00_-;\-[$€-2]\ * #,##0.00_-;_-[$€-2]\ * &quot;-&quot;??_-;_-@_-"/>
  </numFmts>
  <fonts count="2" x14ac:knownFonts="1"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/>
    <xf numFmtId="165" fontId="0" fillId="2" borderId="1" xfId="0" applyNumberFormat="1" applyFill="1" applyBorder="1"/>
    <xf numFmtId="44" fontId="0" fillId="0" borderId="1" xfId="0" applyNumberFormat="1" applyBorder="1"/>
    <xf numFmtId="44" fontId="0" fillId="0" borderId="0" xfId="0" applyNumberFormat="1"/>
    <xf numFmtId="9" fontId="0" fillId="0" borderId="1" xfId="2" applyFont="1" applyBorder="1"/>
    <xf numFmtId="44" fontId="0" fillId="2" borderId="1" xfId="1" applyFont="1" applyFill="1" applyBorder="1"/>
    <xf numFmtId="9" fontId="0" fillId="2" borderId="1" xfId="0" applyNumberFormat="1" applyFill="1" applyBorder="1"/>
    <xf numFmtId="44" fontId="0" fillId="0" borderId="1" xfId="1" applyFont="1" applyBorder="1"/>
    <xf numFmtId="9" fontId="0" fillId="0" borderId="0" xfId="0" applyNumberFormat="1"/>
    <xf numFmtId="2" fontId="0" fillId="0" borderId="1" xfId="0" applyNumberFormat="1" applyBorder="1"/>
    <xf numFmtId="0" fontId="0" fillId="2" borderId="1" xfId="0" applyFill="1" applyBorder="1"/>
  </cellXfs>
  <cellStyles count="3">
    <cellStyle name="Normal" xfId="0" builtinId="0"/>
    <cellStyle name="ParaBirimi" xfId="1" builtinId="4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C69D-50F9-0A49-886B-86BFF3EE8B52}">
  <dimension ref="A1:K21"/>
  <sheetViews>
    <sheetView showGridLines="0" tabSelected="1" zoomScale="138" workbookViewId="0">
      <selection activeCell="C6" sqref="C6"/>
    </sheetView>
  </sheetViews>
  <sheetFormatPr baseColWidth="10" defaultRowHeight="16" x14ac:dyDescent="0.2"/>
  <cols>
    <col min="1" max="1" width="14" bestFit="1" customWidth="1"/>
    <col min="2" max="2" width="11.5" bestFit="1" customWidth="1"/>
    <col min="3" max="3" width="11.33203125" bestFit="1" customWidth="1"/>
    <col min="4" max="4" width="13.5" bestFit="1" customWidth="1"/>
    <col min="5" max="8" width="14.83203125" customWidth="1"/>
    <col min="10" max="10" width="19.33203125" bestFit="1" customWidth="1"/>
    <col min="11" max="11" width="14" bestFit="1" customWidth="1"/>
  </cols>
  <sheetData>
    <row r="1" spans="1:11" x14ac:dyDescent="0.2">
      <c r="B1" s="1"/>
      <c r="E1" s="2" t="s">
        <v>0</v>
      </c>
      <c r="F1" s="2" t="s">
        <v>1</v>
      </c>
      <c r="G1" s="2" t="s">
        <v>2</v>
      </c>
      <c r="H1" s="2" t="s">
        <v>3</v>
      </c>
    </row>
    <row r="2" spans="1:11" x14ac:dyDescent="0.2">
      <c r="A2" s="2" t="s">
        <v>4</v>
      </c>
      <c r="B2" s="12" t="s">
        <v>5</v>
      </c>
      <c r="D2" s="2" t="s">
        <v>6</v>
      </c>
      <c r="E2" s="3">
        <v>100000</v>
      </c>
      <c r="F2" s="3">
        <v>100000</v>
      </c>
      <c r="G2" s="3">
        <v>100000</v>
      </c>
      <c r="H2" s="3">
        <v>100000</v>
      </c>
      <c r="J2" s="2" t="s">
        <v>7</v>
      </c>
      <c r="K2" s="4">
        <f>A5*(1-B5)/12</f>
        <v>30000</v>
      </c>
    </row>
    <row r="3" spans="1:11" x14ac:dyDescent="0.2">
      <c r="D3" s="2" t="s">
        <v>8</v>
      </c>
      <c r="E3" s="3">
        <v>100000</v>
      </c>
      <c r="F3" s="3">
        <v>100000</v>
      </c>
      <c r="G3" s="3">
        <v>100000</v>
      </c>
      <c r="H3" s="3">
        <v>100000</v>
      </c>
      <c r="J3" s="2" t="s">
        <v>9</v>
      </c>
      <c r="K3" s="4">
        <f>K2*12+E5+F5+G5+H5</f>
        <v>600000</v>
      </c>
    </row>
    <row r="4" spans="1:11" x14ac:dyDescent="0.2">
      <c r="A4" s="2" t="s">
        <v>10</v>
      </c>
      <c r="B4" s="2" t="s">
        <v>11</v>
      </c>
      <c r="C4" s="5"/>
      <c r="D4" s="2" t="s">
        <v>12</v>
      </c>
      <c r="E4" s="6">
        <f>E3/E2</f>
        <v>1</v>
      </c>
      <c r="F4" s="6">
        <f>F3/F2</f>
        <v>1</v>
      </c>
      <c r="G4" s="6">
        <f>G3/G2</f>
        <v>1</v>
      </c>
      <c r="H4" s="6">
        <f>H3/H2</f>
        <v>1</v>
      </c>
      <c r="J4" s="2" t="s">
        <v>13</v>
      </c>
      <c r="K4" s="4">
        <f>K3/12</f>
        <v>50000</v>
      </c>
    </row>
    <row r="5" spans="1:11" x14ac:dyDescent="0.2">
      <c r="A5" s="7">
        <v>600000</v>
      </c>
      <c r="B5" s="8">
        <v>0.4</v>
      </c>
      <c r="D5" s="2" t="s">
        <v>14</v>
      </c>
      <c r="E5" s="9">
        <f>IF(E4&gt;$C$21,((1-0)*$A$18*$A$5*$B$5/4+(1.3-1)*$A$20*$A$5*$B$5/4+(2.5-1.3)*$A$21*$A$5*$B$5/4),IF(E4&gt;$C$20,((1-0)*$A$18*$A$5*$B$5/4+(1.3-1)*$A$20*$A$5*$B$5/4+(E4-1.3)*$A$21*$A$5*$B$5/4),IF(E4&gt;$C$18,((1-0)*$A$18*$A$5*$B$5/4+(E4-1)*$A$20*$A$5*$B$5/4),IF(E4&gt;$C$17,E4*$A$18*$A$5*$B$5/4,IF(E4&gt;$C$16,E4*$A$17*$A$5*$B$5/4,IF(E4&gt;$C$15,E4*$A$16*$A$5*$B$5/4,0))))))</f>
        <v>60000</v>
      </c>
      <c r="F5" s="9">
        <f>IF(F4&gt;$C$21,((1-0)*$A$18*$A$5*$B$5/4+(1.3-1)*$A$20*$A$5*$B$5/4+(2.5-1.3)*$A$21*$A$5*$B$5/4),IF(F4&gt;$C$20,((1-0)*$A$18*$A$5*$B$5/4+(1.3-1)*$A$20*$A$5*$B$5/4+(F4-1.3)*$A$21*$A$5*$B$5/4),IF(F4&gt;$C$18,((1-0)*$A$18*$A$5*$B$5/4+(F4-1)*$A$20*$A$5*$B$5/4),IF(F4&gt;$C$17,F4*$A$18*$A$5*$B$5/4,IF(F4&gt;$C$16,F4*$A$17*$A$5*$B$5/4,IF(F4&gt;$C$15,F4*$A$16*$A$5*$B$5/4,0))))))</f>
        <v>60000</v>
      </c>
      <c r="G5" s="9">
        <f>IF(G4&gt;$C$21,((1-0)*$A$18*$A$5*$B$5/4+(1.3-1)*$A$20*$A$5*$B$5/4+(2.5-1.3)*$A$21*$A$5*$B$5/4),IF(G4&gt;$C$20,((1-0)*$A$18*$A$5*$B$5/4+(1.3-1)*$A$20*$A$5*$B$5/4+(G4-1.3)*$A$21*$A$5*$B$5/4),IF(G4&gt;$C$18,((1-0)*$A$18*$A$5*$B$5/4+(G4-1)*$A$20*$A$5*$B$5/4),IF(G4&gt;$C$17,G4*$A$18*$A$5*$B$5/4,IF(G4&gt;$C$16,G4*$A$17*$A$5*$B$5/4,IF(G4&gt;$C$15,G4*$A$16*$A$5*$B$5/4,0))))))</f>
        <v>60000</v>
      </c>
      <c r="H5" s="9">
        <f>IF(H4&gt;$C$21,((1-0)*$A$18*$A$5*$B$5/4+(1.3-1)*$A$20*$A$5*$B$5/4+(2.5-1.3)*$A$21*$A$5*$B$5/4),IF(H4&gt;$C$20,((1-0)*$A$18*$A$5*$B$5/4+(1.3-1)*$A$20*$A$5*$B$5/4+(H4-1.3)*$A$21*$A$5*$B$5/4),IF(H4&gt;$C$18,((1-0)*$A$18*$A$5*$B$5/4+(H4-1)*$A$20*$A$5*$B$5/4),IF(H4&gt;$C$17,H4*$A$18*$A$5*$B$5/4,IF(H4&gt;$C$16,H4*$A$17*$A$5*$B$5/4,IF(H4&gt;$C$15,H4*$A$16*$A$5*$B$5/4,0))))))</f>
        <v>60000</v>
      </c>
    </row>
    <row r="13" spans="1:11" x14ac:dyDescent="0.2">
      <c r="E13" s="5"/>
    </row>
    <row r="14" spans="1:11" x14ac:dyDescent="0.2">
      <c r="A14" s="2" t="s">
        <v>15</v>
      </c>
      <c r="B14" s="2" t="s">
        <v>16</v>
      </c>
      <c r="C14" s="2" t="s">
        <v>17</v>
      </c>
      <c r="E14" s="5"/>
      <c r="F14" s="10"/>
      <c r="G14" s="5"/>
    </row>
    <row r="15" spans="1:11" x14ac:dyDescent="0.2">
      <c r="A15" s="11">
        <v>0</v>
      </c>
      <c r="B15" s="6">
        <v>0</v>
      </c>
      <c r="C15" s="6">
        <v>0.5</v>
      </c>
      <c r="D15" s="10" t="s">
        <v>18</v>
      </c>
      <c r="E15" s="5"/>
      <c r="G15" s="5"/>
    </row>
    <row r="16" spans="1:11" x14ac:dyDescent="0.2">
      <c r="A16" s="11">
        <v>0.5</v>
      </c>
      <c r="B16" s="6">
        <v>0.51</v>
      </c>
      <c r="C16" s="6">
        <v>0.75</v>
      </c>
      <c r="E16" s="5"/>
      <c r="G16" s="5"/>
    </row>
    <row r="17" spans="1:7" x14ac:dyDescent="0.2">
      <c r="A17" s="2">
        <v>0.75</v>
      </c>
      <c r="B17" s="6">
        <v>0.76</v>
      </c>
      <c r="C17" s="6">
        <v>0.9</v>
      </c>
      <c r="G17" s="5"/>
    </row>
    <row r="18" spans="1:7" x14ac:dyDescent="0.2">
      <c r="A18" s="2">
        <v>1</v>
      </c>
      <c r="B18" s="6">
        <v>0.91</v>
      </c>
      <c r="C18" s="6">
        <v>1</v>
      </c>
    </row>
    <row r="19" spans="1:7" x14ac:dyDescent="0.2">
      <c r="A19" s="2" t="s">
        <v>19</v>
      </c>
      <c r="B19" s="2" t="s">
        <v>16</v>
      </c>
      <c r="C19" s="2" t="s">
        <v>17</v>
      </c>
    </row>
    <row r="20" spans="1:7" x14ac:dyDescent="0.2">
      <c r="A20" s="2">
        <v>1.5</v>
      </c>
      <c r="B20" s="6">
        <v>1.01</v>
      </c>
      <c r="C20" s="6">
        <v>1.3</v>
      </c>
    </row>
    <row r="21" spans="1:7" x14ac:dyDescent="0.2">
      <c r="A21" s="2">
        <v>1.5</v>
      </c>
      <c r="B21" s="6">
        <v>1.31</v>
      </c>
      <c r="C21" s="6">
        <v>2.5</v>
      </c>
      <c r="D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Örnek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hamdi beşli</dc:creator>
  <cp:lastModifiedBy>hamdi beşli</cp:lastModifiedBy>
  <dcterms:created xsi:type="dcterms:W3CDTF">2026-01-26T17:18:03Z</dcterms:created>
  <dcterms:modified xsi:type="dcterms:W3CDTF">2026-01-26T17:28:07Z</dcterms:modified>
</cp:coreProperties>
</file>